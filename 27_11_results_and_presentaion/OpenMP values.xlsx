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by\Documents\"/>
    </mc:Choice>
  </mc:AlternateContent>
  <xr:revisionPtr revIDLastSave="0" documentId="13_ncr:1_{2AF0B556-7C41-4147-ACB3-6A45394FB79F}" xr6:coauthVersionLast="47" xr6:coauthVersionMax="47" xr10:uidLastSave="{00000000-0000-0000-0000-000000000000}"/>
  <bookViews>
    <workbookView xWindow="-108" yWindow="-108" windowWidth="23256" windowHeight="12456" xr2:uid="{C48DC78C-F866-482B-A28C-5F7762E9AC9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18" i="1"/>
  <c r="F13" i="1"/>
  <c r="F8" i="1"/>
  <c r="F3" i="1"/>
  <c r="M23" i="1"/>
  <c r="L23" i="1"/>
  <c r="K23" i="1"/>
  <c r="J23" i="1"/>
  <c r="I23" i="1"/>
  <c r="H23" i="1"/>
  <c r="G23" i="1"/>
  <c r="M18" i="1"/>
  <c r="L18" i="1"/>
  <c r="K18" i="1"/>
  <c r="J18" i="1"/>
  <c r="I18" i="1"/>
  <c r="H18" i="1"/>
  <c r="G18" i="1"/>
  <c r="M13" i="1"/>
  <c r="L13" i="1"/>
  <c r="K13" i="1"/>
  <c r="J13" i="1"/>
  <c r="I13" i="1"/>
  <c r="H13" i="1"/>
  <c r="G13" i="1"/>
  <c r="M8" i="1"/>
  <c r="L8" i="1"/>
  <c r="K8" i="1"/>
  <c r="J8" i="1"/>
  <c r="I8" i="1"/>
  <c r="H8" i="1"/>
  <c r="G8" i="1"/>
  <c r="H3" i="1"/>
  <c r="I3" i="1"/>
  <c r="J3" i="1"/>
  <c r="K3" i="1"/>
  <c r="L3" i="1"/>
  <c r="M3" i="1"/>
  <c r="G3" i="1"/>
</calcChain>
</file>

<file path=xl/sharedStrings.xml><?xml version="1.0" encoding="utf-8"?>
<sst xmlns="http://schemas.openxmlformats.org/spreadsheetml/2006/main" count="35" uniqueCount="11">
  <si>
    <t>Класс</t>
  </si>
  <si>
    <t>Итерации</t>
  </si>
  <si>
    <t>Размер</t>
  </si>
  <si>
    <t>OMP_NUM_THREADS</t>
  </si>
  <si>
    <t>Время выполнения (с)</t>
  </si>
  <si>
    <t>A</t>
  </si>
  <si>
    <t>Ускорение</t>
  </si>
  <si>
    <t>B</t>
  </si>
  <si>
    <t>C</t>
  </si>
  <si>
    <t>S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</si>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</sst>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Класс</a:t>
            </a:r>
            <a:r>
              <a:rPr lang="ru-RU" baseline="0"/>
              <a:t> </a:t>
            </a:r>
            <a:r>
              <a:rPr lang="en-US" baseline="0"/>
              <a:t>A. </a:t>
            </a:r>
            <a:r>
              <a:rPr lang="ru-RU" baseline="0"/>
              <a:t>Зависимость времени выполнения (с) от числа тредов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2035404798656402E-2"/>
          <c:y val="0.26667522957524542"/>
          <c:w val="0.88334186479532284"/>
          <c:h val="0.65168074874829551"/>
        </c:manualLayout>
      </c:layout>
      <c:lineChart>
        <c:grouping val="standard"/>
        <c:varyColors val="0"/>
        <c:ser>
          <c:idx val="1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Лист1!$F$1:$M$1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Лист1!$F$2:$M$2</c:f>
              <c:numCache>
                <c:formatCode>0.00</c:formatCode>
                <c:ptCount val="8"/>
                <c:pt idx="0">
                  <c:v>1.02</c:v>
                </c:pt>
                <c:pt idx="1">
                  <c:v>0.51</c:v>
                </c:pt>
                <c:pt idx="2">
                  <c:v>0.25</c:v>
                </c:pt>
                <c:pt idx="3">
                  <c:v>0.18</c:v>
                </c:pt>
                <c:pt idx="4">
                  <c:v>0.3</c:v>
                </c:pt>
                <c:pt idx="5">
                  <c:v>0.39</c:v>
                </c:pt>
                <c:pt idx="6">
                  <c:v>0.54</c:v>
                </c:pt>
                <c:pt idx="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08-4B0C-95E0-3F0B7EC78B6F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Лист1!$F$1:$M$1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Лист1!$F$2:$M$2</c:f>
              <c:numCache>
                <c:formatCode>0.00</c:formatCode>
                <c:ptCount val="8"/>
                <c:pt idx="0">
                  <c:v>1.02</c:v>
                </c:pt>
                <c:pt idx="1">
                  <c:v>0.51</c:v>
                </c:pt>
                <c:pt idx="2">
                  <c:v>0.25</c:v>
                </c:pt>
                <c:pt idx="3">
                  <c:v>0.18</c:v>
                </c:pt>
                <c:pt idx="4">
                  <c:v>0.3</c:v>
                </c:pt>
                <c:pt idx="5">
                  <c:v>0.39</c:v>
                </c:pt>
                <c:pt idx="6">
                  <c:v>0.54</c:v>
                </c:pt>
                <c:pt idx="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08-4B0C-95E0-3F0B7EC78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938431"/>
        <c:axId val="1213938911"/>
      </c:lineChart>
      <c:catAx>
        <c:axId val="12139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911"/>
        <c:crosses val="autoZero"/>
        <c:auto val="1"/>
        <c:lblAlgn val="ctr"/>
        <c:lblOffset val="100"/>
        <c:noMultiLvlLbl val="0"/>
      </c:catAx>
      <c:valAx>
        <c:axId val="12139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Класс</a:t>
            </a:r>
            <a:r>
              <a:rPr lang="ru-RU" baseline="0"/>
              <a:t> </a:t>
            </a:r>
            <a:r>
              <a:rPr lang="en-US" baseline="0"/>
              <a:t>A. </a:t>
            </a:r>
            <a:r>
              <a:rPr lang="ru-RU" baseline="0"/>
              <a:t>Зависимость ускорения (раз) от числа тредов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2035404798656402E-2"/>
          <c:y val="0.26667522957524542"/>
          <c:w val="0.88334186479532284"/>
          <c:h val="0.65168074874829551"/>
        </c:manualLayout>
      </c:layout>
      <c:lineChart>
        <c:grouping val="standard"/>
        <c:varyColors val="0"/>
        <c:ser>
          <c:idx val="1"/>
          <c:order val="0"/>
          <c:tx>
            <c:strRef>
              <c:f>Лист1!$F$3</c:f>
              <c:strCache>
                <c:ptCount val="1"/>
                <c:pt idx="0">
                  <c:v>1,00</c:v>
                </c:pt>
              </c:strCache>
            </c:strRef>
          </c:tx>
          <c:marker>
            <c:symbol val="none"/>
          </c:marker>
          <c:cat>
            <c:numRef>
              <c:f>Лист1!$F$1:$M$1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Лист1!$F$3:$M$3</c:f>
              <c:numCache>
                <c:formatCode>0.00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4.08</c:v>
                </c:pt>
                <c:pt idx="3">
                  <c:v>5.666666666666667</c:v>
                </c:pt>
                <c:pt idx="4">
                  <c:v>3.4000000000000004</c:v>
                </c:pt>
                <c:pt idx="5">
                  <c:v>2.6153846153846154</c:v>
                </c:pt>
                <c:pt idx="6">
                  <c:v>1.8888888888888888</c:v>
                </c:pt>
                <c:pt idx="7">
                  <c:v>1.2289156626506026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5-4DA5-BC59-32FF57ED4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938431"/>
        <c:axId val="1213938911"/>
      </c:lineChart>
      <c:catAx>
        <c:axId val="12139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911"/>
        <c:crosses val="autoZero"/>
        <c:auto val="1"/>
        <c:lblAlgn val="ctr"/>
        <c:lblOffset val="100"/>
        <c:noMultiLvlLbl val="0"/>
      </c:catAx>
      <c:valAx>
        <c:axId val="12139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Класс</a:t>
            </a:r>
            <a:r>
              <a:rPr lang="ru-RU" baseline="0"/>
              <a:t> </a:t>
            </a:r>
            <a:r>
              <a:rPr lang="en-US" baseline="0"/>
              <a:t>B. </a:t>
            </a:r>
            <a:r>
              <a:rPr lang="ru-RU" baseline="0"/>
              <a:t>Зависимость времени выполнения (с) от числа тредов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2035404798656402E-2"/>
          <c:y val="0.26667522957524542"/>
          <c:w val="0.88334186479532284"/>
          <c:h val="0.6516807487482955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Лист1!$F$1:$M$1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Лист1!$F$7:$M$7</c:f>
              <c:numCache>
                <c:formatCode>0.00</c:formatCode>
                <c:ptCount val="8"/>
                <c:pt idx="0">
                  <c:v>42.29</c:v>
                </c:pt>
                <c:pt idx="1">
                  <c:v>22.55</c:v>
                </c:pt>
                <c:pt idx="2">
                  <c:v>12.13</c:v>
                </c:pt>
                <c:pt idx="3">
                  <c:v>9.91</c:v>
                </c:pt>
                <c:pt idx="4">
                  <c:v>9.31</c:v>
                </c:pt>
                <c:pt idx="5">
                  <c:v>9.98</c:v>
                </c:pt>
                <c:pt idx="6">
                  <c:v>11.18</c:v>
                </c:pt>
                <c:pt idx="7">
                  <c:v>13.14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83-43A4-A3D6-A90EE8108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938431"/>
        <c:axId val="1213938911"/>
      </c:lineChart>
      <c:catAx>
        <c:axId val="12139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911"/>
        <c:crosses val="autoZero"/>
        <c:auto val="1"/>
        <c:lblAlgn val="ctr"/>
        <c:lblOffset val="100"/>
        <c:noMultiLvlLbl val="0"/>
      </c:catAx>
      <c:valAx>
        <c:axId val="12139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Класс</a:t>
            </a:r>
            <a:r>
              <a:rPr lang="ru-RU" baseline="0"/>
              <a:t> </a:t>
            </a:r>
            <a:r>
              <a:rPr lang="en-US" baseline="0"/>
              <a:t>B. </a:t>
            </a:r>
            <a:r>
              <a:rPr lang="ru-RU" baseline="0"/>
              <a:t>Зависимость ускорения (раз) от числа тредов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2035404798656402E-2"/>
          <c:y val="0.26667522957524542"/>
          <c:w val="0.88334186479532284"/>
          <c:h val="0.65168074874829551"/>
        </c:manualLayout>
      </c:layout>
      <c:lineChart>
        <c:grouping val="standard"/>
        <c:varyColors val="0"/>
        <c:ser>
          <c:idx val="1"/>
          <c:order val="0"/>
          <c:tx>
            <c:strRef>
              <c:f>Лист1!$F$3</c:f>
              <c:strCache>
                <c:ptCount val="1"/>
                <c:pt idx="0">
                  <c:v>1.00</c:v>
                </c:pt>
              </c:strCache>
            </c:strRef>
          </c:tx>
          <c:marker>
            <c:symbol val="none"/>
          </c:marker>
          <c:cat>
            <c:numRef>
              <c:f>Лист1!$F$1:$M$1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Лист1!$F$8:$M$8</c:f>
              <c:numCache>
                <c:formatCode>0.00</c:formatCode>
                <c:ptCount val="8"/>
                <c:pt idx="0">
                  <c:v>1</c:v>
                </c:pt>
                <c:pt idx="1">
                  <c:v>1.8753880266075387</c:v>
                </c:pt>
                <c:pt idx="2">
                  <c:v>3.486397361912613</c:v>
                </c:pt>
                <c:pt idx="3">
                  <c:v>4.2674066599394553</c:v>
                </c:pt>
                <c:pt idx="4">
                  <c:v>4.5424274973147147</c:v>
                </c:pt>
                <c:pt idx="5">
                  <c:v>4.2374749498997994</c:v>
                </c:pt>
                <c:pt idx="6">
                  <c:v>3.7826475849731662</c:v>
                </c:pt>
                <c:pt idx="7">
                  <c:v>3.2184170471841704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F0-400A-AC3D-ABFBA6E2D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938431"/>
        <c:axId val="1213938911"/>
      </c:lineChart>
      <c:catAx>
        <c:axId val="12139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911"/>
        <c:crosses val="autoZero"/>
        <c:auto val="1"/>
        <c:lblAlgn val="ctr"/>
        <c:lblOffset val="100"/>
        <c:noMultiLvlLbl val="0"/>
      </c:catAx>
      <c:valAx>
        <c:axId val="12139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Класс</a:t>
            </a:r>
            <a:r>
              <a:rPr lang="ru-RU" baseline="0"/>
              <a:t> </a:t>
            </a:r>
            <a:r>
              <a:rPr lang="en-US" baseline="0"/>
              <a:t>C. </a:t>
            </a:r>
            <a:r>
              <a:rPr lang="ru-RU" baseline="0"/>
              <a:t>Зависимость времени выполнения (с) от числа тредов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2035404798656402E-2"/>
          <c:y val="0.26667522957524542"/>
          <c:w val="0.88334186479532284"/>
          <c:h val="0.6516807487482955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Лист1!$F$1:$M$1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Лист1!$F$12:$M$12</c:f>
              <c:numCache>
                <c:formatCode>0.00</c:formatCode>
                <c:ptCount val="8"/>
                <c:pt idx="0">
                  <c:v>142.78</c:v>
                </c:pt>
                <c:pt idx="1">
                  <c:v>73.66</c:v>
                </c:pt>
                <c:pt idx="2">
                  <c:v>39.47</c:v>
                </c:pt>
                <c:pt idx="3">
                  <c:v>33.76</c:v>
                </c:pt>
                <c:pt idx="4">
                  <c:v>34.409999999999997</c:v>
                </c:pt>
                <c:pt idx="5">
                  <c:v>34.93</c:v>
                </c:pt>
                <c:pt idx="6">
                  <c:v>34.64</c:v>
                </c:pt>
                <c:pt idx="7">
                  <c:v>36.979999999999997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13-4784-9102-23AAC1A9C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938431"/>
        <c:axId val="1213938911"/>
      </c:lineChart>
      <c:catAx>
        <c:axId val="12139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911"/>
        <c:crosses val="autoZero"/>
        <c:auto val="1"/>
        <c:lblAlgn val="ctr"/>
        <c:lblOffset val="100"/>
        <c:noMultiLvlLbl val="0"/>
      </c:catAx>
      <c:valAx>
        <c:axId val="12139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Класс</a:t>
            </a:r>
            <a:r>
              <a:rPr lang="ru-RU" baseline="0"/>
              <a:t> </a:t>
            </a:r>
            <a:r>
              <a:rPr lang="en-US" baseline="0"/>
              <a:t>C. </a:t>
            </a:r>
            <a:r>
              <a:rPr lang="ru-RU" baseline="0"/>
              <a:t>Зависимость ускорения (раз) от числа тредов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2035404798656402E-2"/>
          <c:y val="0.26667522957524542"/>
          <c:w val="0.88334186479532284"/>
          <c:h val="0.65168074874829551"/>
        </c:manualLayout>
      </c:layout>
      <c:lineChart>
        <c:grouping val="standard"/>
        <c:varyColors val="0"/>
        <c:ser>
          <c:idx val="1"/>
          <c:order val="0"/>
          <c:tx>
            <c:strRef>
              <c:f>Лист1!$F$3</c:f>
              <c:strCache>
                <c:ptCount val="1"/>
                <c:pt idx="0">
                  <c:v>1.00</c:v>
                </c:pt>
              </c:strCache>
            </c:strRef>
          </c:tx>
          <c:marker>
            <c:symbol val="none"/>
          </c:marker>
          <c:cat>
            <c:numRef>
              <c:f>Лист1!$F$1:$M$1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Лист1!$F$13:$M$13</c:f>
              <c:numCache>
                <c:formatCode>0.00</c:formatCode>
                <c:ptCount val="8"/>
                <c:pt idx="0">
                  <c:v>1</c:v>
                </c:pt>
                <c:pt idx="1">
                  <c:v>1.9383654629378226</c:v>
                </c:pt>
                <c:pt idx="2">
                  <c:v>3.6174309602229542</c:v>
                </c:pt>
                <c:pt idx="3">
                  <c:v>4.2292654028436019</c:v>
                </c:pt>
                <c:pt idx="4">
                  <c:v>4.1493751816332463</c:v>
                </c:pt>
                <c:pt idx="5">
                  <c:v>4.0876037789865443</c:v>
                </c:pt>
                <c:pt idx="6">
                  <c:v>4.121824480369515</c:v>
                </c:pt>
                <c:pt idx="7">
                  <c:v>3.8610059491617092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A7-4713-97B0-982C7FBA7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938431"/>
        <c:axId val="1213938911"/>
      </c:lineChart>
      <c:catAx>
        <c:axId val="12139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911"/>
        <c:crosses val="autoZero"/>
        <c:auto val="1"/>
        <c:lblAlgn val="ctr"/>
        <c:lblOffset val="100"/>
        <c:noMultiLvlLbl val="0"/>
      </c:catAx>
      <c:valAx>
        <c:axId val="12139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Класс</a:t>
            </a:r>
            <a:r>
              <a:rPr lang="ru-RU" baseline="0"/>
              <a:t> </a:t>
            </a:r>
            <a:r>
              <a:rPr lang="en-US" baseline="0"/>
              <a:t>S. </a:t>
            </a:r>
            <a:r>
              <a:rPr lang="ru-RU" baseline="0"/>
              <a:t>Зависимость времени выполнения (с) от числа тредов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2035404798656402E-2"/>
          <c:y val="0.26667522957524542"/>
          <c:w val="0.88334186479532284"/>
          <c:h val="0.6516807487482955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Лист1!$F$1:$M$1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Лист1!$F$17:$M$17</c:f>
              <c:numCache>
                <c:formatCode>0.00</c:formatCode>
                <c:ptCount val="8"/>
                <c:pt idx="0">
                  <c:v>0.04</c:v>
                </c:pt>
                <c:pt idx="1">
                  <c:v>0.02</c:v>
                </c:pt>
                <c:pt idx="2">
                  <c:v>0.01</c:v>
                </c:pt>
                <c:pt idx="3">
                  <c:v>0.01</c:v>
                </c:pt>
                <c:pt idx="4">
                  <c:v>0.1</c:v>
                </c:pt>
                <c:pt idx="5">
                  <c:v>0.18</c:v>
                </c:pt>
                <c:pt idx="6">
                  <c:v>0.36</c:v>
                </c:pt>
                <c:pt idx="7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BA-4BED-B2FE-13CC8BBCB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938431"/>
        <c:axId val="1213938911"/>
      </c:lineChart>
      <c:catAx>
        <c:axId val="12139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911"/>
        <c:crosses val="autoZero"/>
        <c:auto val="1"/>
        <c:lblAlgn val="ctr"/>
        <c:lblOffset val="100"/>
        <c:noMultiLvlLbl val="0"/>
      </c:catAx>
      <c:valAx>
        <c:axId val="12139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Класс</a:t>
            </a:r>
            <a:r>
              <a:rPr lang="ru-RU" baseline="0"/>
              <a:t> </a:t>
            </a:r>
            <a:r>
              <a:rPr lang="en-US" baseline="0"/>
              <a:t>S. </a:t>
            </a:r>
            <a:r>
              <a:rPr lang="ru-RU" baseline="0"/>
              <a:t>Зависимость ускорения (раз) от числа тредов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2035404798656402E-2"/>
          <c:y val="0.26667522957524542"/>
          <c:w val="0.88334186479532284"/>
          <c:h val="0.65168074874829551"/>
        </c:manualLayout>
      </c:layout>
      <c:lineChart>
        <c:grouping val="standard"/>
        <c:varyColors val="0"/>
        <c:ser>
          <c:idx val="1"/>
          <c:order val="0"/>
          <c:tx>
            <c:strRef>
              <c:f>Лист1!$F$3</c:f>
              <c:strCache>
                <c:ptCount val="1"/>
                <c:pt idx="0">
                  <c:v>1.00</c:v>
                </c:pt>
              </c:strCache>
            </c:strRef>
          </c:tx>
          <c:marker>
            <c:symbol val="none"/>
          </c:marker>
          <c:cat>
            <c:numRef>
              <c:f>Лист1!$F$1:$M$1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Лист1!$F$18:$M$18</c:f>
              <c:numCache>
                <c:formatCode>0.00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0.39999999999999997</c:v>
                </c:pt>
                <c:pt idx="5">
                  <c:v>0.22222222222222224</c:v>
                </c:pt>
                <c:pt idx="6">
                  <c:v>0.11111111111111112</c:v>
                </c:pt>
                <c:pt idx="7">
                  <c:v>6.0606060606060608E-2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FD-4965-87C9-2B2D3FD5B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938431"/>
        <c:axId val="1213938911"/>
      </c:lineChart>
      <c:catAx>
        <c:axId val="12139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911"/>
        <c:crosses val="autoZero"/>
        <c:auto val="1"/>
        <c:lblAlgn val="ctr"/>
        <c:lblOffset val="100"/>
        <c:noMultiLvlLbl val="0"/>
      </c:catAx>
      <c:valAx>
        <c:axId val="12139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Класс</a:t>
            </a:r>
            <a:r>
              <a:rPr lang="ru-RU" baseline="0"/>
              <a:t> </a:t>
            </a:r>
            <a:r>
              <a:rPr lang="en-US" baseline="0"/>
              <a:t>W. </a:t>
            </a:r>
            <a:r>
              <a:rPr lang="ru-RU" baseline="0"/>
              <a:t>Зависимость времени выполнения (с) от числа тредов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2035404798656402E-2"/>
          <c:y val="0.26667522957524542"/>
          <c:w val="0.88334186479532284"/>
          <c:h val="0.6516807487482955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Лист1!$F$1:$M$1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Лист1!$F$22:$M$22</c:f>
              <c:numCache>
                <c:formatCode>0.00</c:formatCode>
                <c:ptCount val="8"/>
                <c:pt idx="0">
                  <c:v>0.24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0.15</c:v>
                </c:pt>
                <c:pt idx="5">
                  <c:v>0.23</c:v>
                </c:pt>
                <c:pt idx="6">
                  <c:v>0.39</c:v>
                </c:pt>
                <c:pt idx="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68-4C56-9FA1-7715D557A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938431"/>
        <c:axId val="1213938911"/>
      </c:lineChart>
      <c:catAx>
        <c:axId val="12139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911"/>
        <c:crosses val="autoZero"/>
        <c:auto val="1"/>
        <c:lblAlgn val="ctr"/>
        <c:lblOffset val="100"/>
        <c:noMultiLvlLbl val="0"/>
      </c:catAx>
      <c:valAx>
        <c:axId val="12139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Класс</a:t>
            </a:r>
            <a:r>
              <a:rPr lang="ru-RU" baseline="0"/>
              <a:t> </a:t>
            </a:r>
            <a:r>
              <a:rPr lang="en-US" baseline="0"/>
              <a:t>W. </a:t>
            </a:r>
            <a:r>
              <a:rPr lang="ru-RU" baseline="0"/>
              <a:t>Зависимость ускорения (раз) от числа тредов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2035404798656402E-2"/>
          <c:y val="0.26667522957524542"/>
          <c:w val="0.88334186479532284"/>
          <c:h val="0.65168074874829551"/>
        </c:manualLayout>
      </c:layout>
      <c:lineChart>
        <c:grouping val="standard"/>
        <c:varyColors val="0"/>
        <c:ser>
          <c:idx val="1"/>
          <c:order val="0"/>
          <c:tx>
            <c:strRef>
              <c:f>Лист1!$F$3</c:f>
              <c:strCache>
                <c:ptCount val="1"/>
                <c:pt idx="0">
                  <c:v>1.00</c:v>
                </c:pt>
              </c:strCache>
            </c:strRef>
          </c:tx>
          <c:marker>
            <c:symbol val="none"/>
          </c:marker>
          <c:cat>
            <c:numRef>
              <c:f>Лист1!$F$1:$M$1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Лист1!$F$23:$M$23</c:f>
              <c:numCache>
                <c:formatCode>0.00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3.4285714285714279</c:v>
                </c:pt>
                <c:pt idx="3">
                  <c:v>4.8</c:v>
                </c:pt>
                <c:pt idx="4">
                  <c:v>1.6</c:v>
                </c:pt>
                <c:pt idx="5">
                  <c:v>1.0434782608695652</c:v>
                </c:pt>
                <c:pt idx="6">
                  <c:v>0.61538461538461531</c:v>
                </c:pt>
                <c:pt idx="7">
                  <c:v>0.34285714285714286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EF-407A-AAD2-0ABA2F846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938431"/>
        <c:axId val="1213938911"/>
      </c:lineChart>
      <c:catAx>
        <c:axId val="12139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911"/>
        <c:crosses val="autoZero"/>
        <c:auto val="1"/>
        <c:lblAlgn val="ctr"/>
        <c:lblOffset val="100"/>
        <c:noMultiLvlLbl val="0"/>
      </c:catAx>
      <c:valAx>
        <c:axId val="12139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938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10594</xdr:rowOff>
    </xdr:from>
    <xdr:to>
      <xdr:col>6</xdr:col>
      <xdr:colOff>65240</xdr:colOff>
      <xdr:row>39</xdr:row>
      <xdr:rowOff>10595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C716E43-9567-DF3F-C580-71E6CB8C5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501041</xdr:colOff>
      <xdr:row>24</xdr:row>
      <xdr:rowOff>10438</xdr:rowOff>
    </xdr:from>
    <xdr:to>
      <xdr:col>14</xdr:col>
      <xdr:colOff>86116</xdr:colOff>
      <xdr:row>39</xdr:row>
      <xdr:rowOff>10439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2B25D3B-B12E-4163-8807-73DAA0036E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40</xdr:row>
      <xdr:rowOff>173433</xdr:rowOff>
    </xdr:from>
    <xdr:to>
      <xdr:col>6</xdr:col>
      <xdr:colOff>65240</xdr:colOff>
      <xdr:row>55</xdr:row>
      <xdr:rowOff>173433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E53CD8A-71A6-4E31-93F9-8544314ED6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501041</xdr:colOff>
      <xdr:row>40</xdr:row>
      <xdr:rowOff>173277</xdr:rowOff>
    </xdr:from>
    <xdr:to>
      <xdr:col>14</xdr:col>
      <xdr:colOff>86116</xdr:colOff>
      <xdr:row>55</xdr:row>
      <xdr:rowOff>173277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62D00C68-0BF5-4670-A3AB-4217CCD78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58</xdr:row>
      <xdr:rowOff>156</xdr:rowOff>
    </xdr:from>
    <xdr:to>
      <xdr:col>6</xdr:col>
      <xdr:colOff>65240</xdr:colOff>
      <xdr:row>73</xdr:row>
      <xdr:rowOff>157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B530B60D-BCA3-4D6B-ACC4-92EB53D1D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501041</xdr:colOff>
      <xdr:row>58</xdr:row>
      <xdr:rowOff>0</xdr:rowOff>
    </xdr:from>
    <xdr:to>
      <xdr:col>14</xdr:col>
      <xdr:colOff>86116</xdr:colOff>
      <xdr:row>73</xdr:row>
      <xdr:rowOff>1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BCF64431-AEBB-4913-A75A-B04B0D89B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75</xdr:row>
      <xdr:rowOff>6419</xdr:rowOff>
    </xdr:from>
    <xdr:to>
      <xdr:col>6</xdr:col>
      <xdr:colOff>65240</xdr:colOff>
      <xdr:row>90</xdr:row>
      <xdr:rowOff>6420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C9FA1CD4-3FF1-43AE-96F8-7D81BEC4E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501041</xdr:colOff>
      <xdr:row>75</xdr:row>
      <xdr:rowOff>6263</xdr:rowOff>
    </xdr:from>
    <xdr:to>
      <xdr:col>14</xdr:col>
      <xdr:colOff>86116</xdr:colOff>
      <xdr:row>90</xdr:row>
      <xdr:rowOff>6264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B3C69F25-B801-4E9B-91E5-153535D9C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92</xdr:row>
      <xdr:rowOff>156</xdr:rowOff>
    </xdr:from>
    <xdr:to>
      <xdr:col>6</xdr:col>
      <xdr:colOff>65240</xdr:colOff>
      <xdr:row>107</xdr:row>
      <xdr:rowOff>157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CB439837-972F-4261-9263-9BCA8CC42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501041</xdr:colOff>
      <xdr:row>92</xdr:row>
      <xdr:rowOff>0</xdr:rowOff>
    </xdr:from>
    <xdr:to>
      <xdr:col>14</xdr:col>
      <xdr:colOff>86116</xdr:colOff>
      <xdr:row>107</xdr:row>
      <xdr:rowOff>1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A9D69BC3-A28C-4BC2-8E72-4A8F9175B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FA13-A516-4B03-8EF6-961971AFAD46}">
  <dimension ref="A1:M23"/>
  <sheetViews>
    <sheetView tabSelected="1" topLeftCell="A52" zoomScale="73" workbookViewId="0">
      <selection activeCell="S75" sqref="S75"/>
    </sheetView>
  </sheetViews>
  <sheetFormatPr defaultRowHeight="14.4" x14ac:dyDescent="0.3"/>
  <cols>
    <col min="2" max="2" width="11.109375" customWidth="1"/>
    <col min="5" max="5" width="19" customWidth="1"/>
    <col min="8" max="8" width="9.88671875" customWidth="1"/>
    <col min="9" max="9" width="9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E1" t="s">
        <v>3</v>
      </c>
      <c r="F1">
        <v>1</v>
      </c>
      <c r="G1">
        <v>2</v>
      </c>
      <c r="H1">
        <v>4</v>
      </c>
      <c r="I1">
        <v>8</v>
      </c>
      <c r="J1">
        <v>16</v>
      </c>
      <c r="K1">
        <v>32</v>
      </c>
      <c r="L1">
        <v>64</v>
      </c>
      <c r="M1">
        <v>128</v>
      </c>
    </row>
    <row r="2" spans="1:13" x14ac:dyDescent="0.3">
      <c r="A2" t="s">
        <v>5</v>
      </c>
      <c r="B2">
        <v>15</v>
      </c>
      <c r="C2">
        <v>14000</v>
      </c>
      <c r="E2" t="s">
        <v>4</v>
      </c>
      <c r="F2" s="1">
        <v>1.02</v>
      </c>
      <c r="G2" s="1">
        <v>0.51</v>
      </c>
      <c r="H2" s="1">
        <v>0.25</v>
      </c>
      <c r="I2" s="1">
        <v>0.18</v>
      </c>
      <c r="J2" s="1">
        <v>0.3</v>
      </c>
      <c r="K2" s="1">
        <v>0.39</v>
      </c>
      <c r="L2" s="1">
        <v>0.54</v>
      </c>
      <c r="M2" s="1">
        <v>0.83</v>
      </c>
    </row>
    <row r="3" spans="1:13" x14ac:dyDescent="0.3">
      <c r="E3" t="s">
        <v>6</v>
      </c>
      <c r="F3" s="1">
        <f>1</f>
        <v>1</v>
      </c>
      <c r="G3" s="1">
        <f>$F2/G2</f>
        <v>2</v>
      </c>
      <c r="H3" s="1">
        <f>$F2/H2</f>
        <v>4.08</v>
      </c>
      <c r="I3" s="1">
        <f t="shared" ref="H3:M3" si="0">$F2/I2</f>
        <v>5.666666666666667</v>
      </c>
      <c r="J3" s="1">
        <f t="shared" si="0"/>
        <v>3.4000000000000004</v>
      </c>
      <c r="K3" s="1">
        <f t="shared" si="0"/>
        <v>2.6153846153846154</v>
      </c>
      <c r="L3" s="1">
        <f t="shared" si="0"/>
        <v>1.8888888888888888</v>
      </c>
      <c r="M3" s="1">
        <f t="shared" si="0"/>
        <v>1.2289156626506026</v>
      </c>
    </row>
    <row r="6" spans="1:13" x14ac:dyDescent="0.3">
      <c r="A6" t="s">
        <v>0</v>
      </c>
      <c r="B6" t="s">
        <v>1</v>
      </c>
      <c r="C6" t="s">
        <v>2</v>
      </c>
      <c r="E6" t="s">
        <v>3</v>
      </c>
      <c r="F6">
        <v>1</v>
      </c>
      <c r="G6">
        <v>2</v>
      </c>
      <c r="H6">
        <v>4</v>
      </c>
      <c r="I6">
        <v>8</v>
      </c>
      <c r="J6">
        <v>16</v>
      </c>
      <c r="K6">
        <v>32</v>
      </c>
      <c r="L6">
        <v>64</v>
      </c>
      <c r="M6">
        <v>128</v>
      </c>
    </row>
    <row r="7" spans="1:13" x14ac:dyDescent="0.3">
      <c r="A7" t="s">
        <v>7</v>
      </c>
      <c r="B7">
        <v>75</v>
      </c>
      <c r="C7">
        <v>75000</v>
      </c>
      <c r="E7" t="s">
        <v>4</v>
      </c>
      <c r="F7" s="1">
        <v>42.29</v>
      </c>
      <c r="G7" s="1">
        <v>22.55</v>
      </c>
      <c r="H7" s="1">
        <v>12.13</v>
      </c>
      <c r="I7" s="1">
        <v>9.91</v>
      </c>
      <c r="J7" s="1">
        <v>9.31</v>
      </c>
      <c r="K7" s="1">
        <v>9.98</v>
      </c>
      <c r="L7" s="1">
        <v>11.18</v>
      </c>
      <c r="M7" s="1">
        <v>13.14</v>
      </c>
    </row>
    <row r="8" spans="1:13" x14ac:dyDescent="0.3">
      <c r="E8" t="s">
        <v>6</v>
      </c>
      <c r="F8" s="1">
        <f>1</f>
        <v>1</v>
      </c>
      <c r="G8" s="1">
        <f>$F7/G7</f>
        <v>1.8753880266075387</v>
      </c>
      <c r="H8" s="1">
        <f>$F7/H7</f>
        <v>3.486397361912613</v>
      </c>
      <c r="I8" s="1">
        <f t="shared" ref="I8" si="1">$F7/I7</f>
        <v>4.2674066599394553</v>
      </c>
      <c r="J8" s="1">
        <f t="shared" ref="J8" si="2">$F7/J7</f>
        <v>4.5424274973147147</v>
      </c>
      <c r="K8" s="1">
        <f t="shared" ref="K8" si="3">$F7/K7</f>
        <v>4.2374749498997994</v>
      </c>
      <c r="L8" s="1">
        <f t="shared" ref="L8" si="4">$F7/L7</f>
        <v>3.7826475849731662</v>
      </c>
      <c r="M8" s="1">
        <f t="shared" ref="M8" si="5">$F7/M7</f>
        <v>3.2184170471841704</v>
      </c>
    </row>
    <row r="11" spans="1:13" x14ac:dyDescent="0.3">
      <c r="A11" t="s">
        <v>0</v>
      </c>
      <c r="B11" t="s">
        <v>1</v>
      </c>
      <c r="C11" t="s">
        <v>2</v>
      </c>
      <c r="E11" t="s">
        <v>3</v>
      </c>
      <c r="F11">
        <v>1</v>
      </c>
      <c r="G11">
        <v>2</v>
      </c>
      <c r="H11">
        <v>4</v>
      </c>
      <c r="I11">
        <v>8</v>
      </c>
      <c r="J11">
        <v>16</v>
      </c>
      <c r="K11">
        <v>32</v>
      </c>
      <c r="L11">
        <v>64</v>
      </c>
      <c r="M11">
        <v>128</v>
      </c>
    </row>
    <row r="12" spans="1:13" x14ac:dyDescent="0.3">
      <c r="A12" t="s">
        <v>8</v>
      </c>
      <c r="B12">
        <v>75</v>
      </c>
      <c r="C12">
        <v>150000</v>
      </c>
      <c r="E12" t="s">
        <v>4</v>
      </c>
      <c r="F12" s="1">
        <v>142.78</v>
      </c>
      <c r="G12" s="1">
        <v>73.66</v>
      </c>
      <c r="H12" s="1">
        <v>39.47</v>
      </c>
      <c r="I12" s="1">
        <v>33.76</v>
      </c>
      <c r="J12" s="1">
        <v>34.409999999999997</v>
      </c>
      <c r="K12" s="1">
        <v>34.93</v>
      </c>
      <c r="L12" s="1">
        <v>34.64</v>
      </c>
      <c r="M12" s="1">
        <v>36.979999999999997</v>
      </c>
    </row>
    <row r="13" spans="1:13" x14ac:dyDescent="0.3">
      <c r="E13" t="s">
        <v>6</v>
      </c>
      <c r="F13" s="1">
        <f>1</f>
        <v>1</v>
      </c>
      <c r="G13" s="1">
        <f>$F12/G12</f>
        <v>1.9383654629378226</v>
      </c>
      <c r="H13" s="1">
        <f>$F12/H12</f>
        <v>3.6174309602229542</v>
      </c>
      <c r="I13" s="1">
        <f t="shared" ref="I13" si="6">$F12/I12</f>
        <v>4.2292654028436019</v>
      </c>
      <c r="J13" s="1">
        <f t="shared" ref="J13" si="7">$F12/J12</f>
        <v>4.1493751816332463</v>
      </c>
      <c r="K13" s="1">
        <f t="shared" ref="K13" si="8">$F12/K12</f>
        <v>4.0876037789865443</v>
      </c>
      <c r="L13" s="1">
        <f t="shared" ref="L13" si="9">$F12/L12</f>
        <v>4.121824480369515</v>
      </c>
      <c r="M13" s="1">
        <f t="shared" ref="M13" si="10">$F12/M12</f>
        <v>3.8610059491617092</v>
      </c>
    </row>
    <row r="16" spans="1:13" x14ac:dyDescent="0.3">
      <c r="A16" t="s">
        <v>0</v>
      </c>
      <c r="B16" t="s">
        <v>1</v>
      </c>
      <c r="C16" t="s">
        <v>2</v>
      </c>
      <c r="E16" t="s">
        <v>3</v>
      </c>
      <c r="F16">
        <v>1</v>
      </c>
      <c r="G16">
        <v>2</v>
      </c>
      <c r="H16">
        <v>4</v>
      </c>
      <c r="I16">
        <v>8</v>
      </c>
      <c r="J16">
        <v>16</v>
      </c>
      <c r="K16">
        <v>32</v>
      </c>
      <c r="L16">
        <v>64</v>
      </c>
      <c r="M16">
        <v>128</v>
      </c>
    </row>
    <row r="17" spans="1:13" x14ac:dyDescent="0.3">
      <c r="A17" t="s">
        <v>9</v>
      </c>
      <c r="B17">
        <v>15</v>
      </c>
      <c r="C17">
        <v>1400</v>
      </c>
      <c r="E17" t="s">
        <v>4</v>
      </c>
      <c r="F17" s="1">
        <v>0.04</v>
      </c>
      <c r="G17" s="1">
        <v>0.02</v>
      </c>
      <c r="H17" s="1">
        <v>0.01</v>
      </c>
      <c r="I17" s="1">
        <v>0.01</v>
      </c>
      <c r="J17" s="1">
        <v>0.1</v>
      </c>
      <c r="K17" s="1">
        <v>0.18</v>
      </c>
      <c r="L17" s="1">
        <v>0.36</v>
      </c>
      <c r="M17" s="1">
        <v>0.66</v>
      </c>
    </row>
    <row r="18" spans="1:13" x14ac:dyDescent="0.3">
      <c r="E18" t="s">
        <v>6</v>
      </c>
      <c r="F18" s="1">
        <f>1</f>
        <v>1</v>
      </c>
      <c r="G18" s="1">
        <f>$F17/G17</f>
        <v>2</v>
      </c>
      <c r="H18" s="1">
        <f>$F17/H17</f>
        <v>4</v>
      </c>
      <c r="I18" s="1">
        <f t="shared" ref="I18" si="11">$F17/I17</f>
        <v>4</v>
      </c>
      <c r="J18" s="1">
        <f t="shared" ref="J18" si="12">$F17/J17</f>
        <v>0.39999999999999997</v>
      </c>
      <c r="K18" s="1">
        <f t="shared" ref="K18" si="13">$F17/K17</f>
        <v>0.22222222222222224</v>
      </c>
      <c r="L18" s="1">
        <f t="shared" ref="L18" si="14">$F17/L17</f>
        <v>0.11111111111111112</v>
      </c>
      <c r="M18" s="1">
        <f t="shared" ref="M18" si="15">$F17/M17</f>
        <v>6.0606060606060608E-2</v>
      </c>
    </row>
    <row r="21" spans="1:13" x14ac:dyDescent="0.3">
      <c r="A21" t="s">
        <v>0</v>
      </c>
      <c r="B21" t="s">
        <v>1</v>
      </c>
      <c r="C21" t="s">
        <v>2</v>
      </c>
      <c r="E21" t="s">
        <v>3</v>
      </c>
      <c r="F21">
        <v>1</v>
      </c>
      <c r="G21">
        <v>2</v>
      </c>
      <c r="H21">
        <v>4</v>
      </c>
      <c r="I21">
        <v>8</v>
      </c>
      <c r="J21">
        <v>16</v>
      </c>
      <c r="K21">
        <v>32</v>
      </c>
      <c r="L21">
        <v>64</v>
      </c>
      <c r="M21">
        <v>128</v>
      </c>
    </row>
    <row r="22" spans="1:13" x14ac:dyDescent="0.3">
      <c r="A22" t="s">
        <v>10</v>
      </c>
      <c r="B22">
        <v>15</v>
      </c>
      <c r="C22">
        <v>7000</v>
      </c>
      <c r="E22" t="s">
        <v>4</v>
      </c>
      <c r="F22" s="1">
        <v>0.24</v>
      </c>
      <c r="G22" s="1">
        <v>0.12</v>
      </c>
      <c r="H22" s="1">
        <v>7.0000000000000007E-2</v>
      </c>
      <c r="I22" s="1">
        <v>0.05</v>
      </c>
      <c r="J22" s="1">
        <v>0.15</v>
      </c>
      <c r="K22" s="1">
        <v>0.23</v>
      </c>
      <c r="L22" s="1">
        <v>0.39</v>
      </c>
      <c r="M22" s="1">
        <v>0.7</v>
      </c>
    </row>
    <row r="23" spans="1:13" x14ac:dyDescent="0.3">
      <c r="E23" t="s">
        <v>6</v>
      </c>
      <c r="F23" s="1">
        <f>1</f>
        <v>1</v>
      </c>
      <c r="G23" s="1">
        <f>$F22/G22</f>
        <v>2</v>
      </c>
      <c r="H23" s="1">
        <f>$F22/H22</f>
        <v>3.4285714285714279</v>
      </c>
      <c r="I23" s="1">
        <f t="shared" ref="I23" si="16">$F22/I22</f>
        <v>4.8</v>
      </c>
      <c r="J23" s="1">
        <f t="shared" ref="J23" si="17">$F22/J22</f>
        <v>1.6</v>
      </c>
      <c r="K23" s="1">
        <f t="shared" ref="K23" si="18">$F22/K22</f>
        <v>1.0434782608695652</v>
      </c>
      <c r="L23" s="1">
        <f t="shared" ref="L23" si="19">$F22/L22</f>
        <v>0.61538461538461531</v>
      </c>
      <c r="M23" s="1">
        <f t="shared" ref="M23" si="20">$F22/M22</f>
        <v>0.34285714285714286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Рябыкин Владислав</dc:creator>
  <cp:lastModifiedBy>Рябыкин Владислав</cp:lastModifiedBy>
  <dcterms:created xsi:type="dcterms:W3CDTF">2024-11-21T08:14:15Z</dcterms:created>
  <dcterms:modified xsi:type="dcterms:W3CDTF">2024-11-21T08:55:07Z</dcterms:modified>
</cp:coreProperties>
</file>