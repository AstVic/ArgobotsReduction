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by\Documents\"/>
    </mc:Choice>
  </mc:AlternateContent>
  <xr:revisionPtr revIDLastSave="0" documentId="13_ncr:1_{AC13F6D5-F499-43AA-AD38-97A8A34F03D8}" xr6:coauthVersionLast="47" xr6:coauthVersionMax="47" xr10:uidLastSave="{00000000-0000-0000-0000-000000000000}"/>
  <bookViews>
    <workbookView xWindow="-108" yWindow="-108" windowWidth="23256" windowHeight="12456" xr2:uid="{C48DC78C-F866-482B-A28C-5F7762E9AC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1" l="1"/>
  <c r="Q29" i="1"/>
  <c r="Q28" i="1"/>
  <c r="Q27" i="1"/>
  <c r="Q26" i="1"/>
  <c r="Q22" i="1"/>
  <c r="Q21" i="1"/>
  <c r="Q20" i="1"/>
  <c r="Q19" i="1"/>
  <c r="Q18" i="1"/>
  <c r="Q14" i="1"/>
  <c r="Q13" i="1"/>
  <c r="Q12" i="1"/>
  <c r="Q11" i="1"/>
  <c r="Q10" i="1"/>
  <c r="Q3" i="1"/>
  <c r="Q4" i="1"/>
  <c r="Q5" i="1"/>
  <c r="Q6" i="1"/>
  <c r="Q2" i="1"/>
  <c r="O30" i="1"/>
  <c r="O29" i="1"/>
  <c r="O28" i="1"/>
  <c r="O27" i="1"/>
  <c r="O26" i="1"/>
  <c r="O22" i="1"/>
  <c r="O21" i="1"/>
  <c r="O20" i="1"/>
  <c r="O19" i="1"/>
  <c r="O18" i="1"/>
  <c r="O14" i="1"/>
  <c r="O13" i="1"/>
  <c r="O12" i="1"/>
  <c r="O11" i="1"/>
  <c r="O10" i="1"/>
  <c r="O3" i="1"/>
  <c r="O4" i="1"/>
  <c r="O5" i="1"/>
  <c r="O6" i="1"/>
  <c r="O2" i="1"/>
</calcChain>
</file>

<file path=xl/sharedStrings.xml><?xml version="1.0" encoding="utf-8"?>
<sst xmlns="http://schemas.openxmlformats.org/spreadsheetml/2006/main" count="36" uniqueCount="12">
  <si>
    <t>Класс</t>
  </si>
  <si>
    <t>Итерации</t>
  </si>
  <si>
    <t>Размер</t>
  </si>
  <si>
    <t>A</t>
  </si>
  <si>
    <t>B</t>
  </si>
  <si>
    <t>S</t>
  </si>
  <si>
    <t>W</t>
  </si>
  <si>
    <t>xstreams \ threads</t>
  </si>
  <si>
    <t>min_time(except 1 thread)</t>
  </si>
  <si>
    <t>threads on min_time</t>
  </si>
  <si>
    <t>max_time(except 1 thread)</t>
  </si>
  <si>
    <t>threads on max_time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</si>
</sst>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 </a:t>
            </a:r>
            <a:r>
              <a:rPr lang="en-US"/>
              <a:t>A. </a:t>
            </a:r>
            <a:r>
              <a:rPr lang="ru-RU"/>
              <a:t>Зависимость</a:t>
            </a:r>
            <a:r>
              <a:rPr lang="ru-RU" baseline="0"/>
              <a:t> минимального времени работы (кроме 1 треда), времени работы 1 треда, максимального времени работы (кроме 1 треда) от значения </a:t>
            </a:r>
            <a:r>
              <a:rPr lang="en-US" baseline="0"/>
              <a:t>xstreams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 время (кроме 1 треда)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Лист1!$O$2:$O$6</c:f>
              <c:numCache>
                <c:formatCode>0.00</c:formatCode>
                <c:ptCount val="5"/>
                <c:pt idx="0">
                  <c:v>1.06</c:v>
                </c:pt>
                <c:pt idx="1">
                  <c:v>1.04</c:v>
                </c:pt>
                <c:pt idx="2">
                  <c:v>1.06</c:v>
                </c:pt>
                <c:pt idx="3">
                  <c:v>1.32</c:v>
                </c:pt>
                <c:pt idx="4">
                  <c:v>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8-42AF-BFAC-F3771C22F4C7}"/>
            </c:ext>
          </c:extLst>
        </c:ser>
        <c:ser>
          <c:idx val="1"/>
          <c:order val="1"/>
          <c:tx>
            <c:v>Время 1 тред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Лист1!$F$2:$F$6</c:f>
              <c:numCache>
                <c:formatCode>0.00</c:formatCode>
                <c:ptCount val="5"/>
                <c:pt idx="0">
                  <c:v>1.08</c:v>
                </c:pt>
                <c:pt idx="1">
                  <c:v>1.02</c:v>
                </c:pt>
                <c:pt idx="2" formatCode="General">
                  <c:v>1.04</c:v>
                </c:pt>
                <c:pt idx="3" formatCode="General">
                  <c:v>1.38</c:v>
                </c:pt>
                <c:pt idx="4" formatCode="General">
                  <c:v>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D8-42AF-BFAC-F3771C22F4C7}"/>
            </c:ext>
          </c:extLst>
        </c:ser>
        <c:ser>
          <c:idx val="2"/>
          <c:order val="2"/>
          <c:tx>
            <c:v>max время (кроме 1 треда)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Лист1!$Q$2:$Q$6</c:f>
              <c:numCache>
                <c:formatCode>0.00</c:formatCode>
                <c:ptCount val="5"/>
                <c:pt idx="0">
                  <c:v>1.3</c:v>
                </c:pt>
                <c:pt idx="1">
                  <c:v>1.29</c:v>
                </c:pt>
                <c:pt idx="2">
                  <c:v>1.32</c:v>
                </c:pt>
                <c:pt idx="3">
                  <c:v>1.83</c:v>
                </c:pt>
                <c:pt idx="4">
                  <c:v>8.9600000000000009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D8-42AF-BFAC-F3771C22F4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0732288"/>
        <c:axId val="1460729408"/>
      </c:barChart>
      <c:catAx>
        <c:axId val="146073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  <a:r>
                  <a:rPr lang="ru-RU" baseline="0"/>
                  <a:t> </a:t>
                </a:r>
                <a:r>
                  <a:rPr lang="en-US" baseline="0"/>
                  <a:t>xstreams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729408"/>
        <c:crosses val="autoZero"/>
        <c:auto val="1"/>
        <c:lblAlgn val="ctr"/>
        <c:lblOffset val="100"/>
        <c:noMultiLvlLbl val="0"/>
      </c:catAx>
      <c:valAx>
        <c:axId val="14607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работы теста (с)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73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 </a:t>
            </a:r>
            <a:r>
              <a:rPr lang="en-US"/>
              <a:t>B. </a:t>
            </a:r>
            <a:r>
              <a:rPr lang="ru-RU"/>
              <a:t>Зависимость</a:t>
            </a:r>
            <a:r>
              <a:rPr lang="ru-RU" baseline="0"/>
              <a:t> минимального времени работы (кроме 1 треда), времени работы 1 треда, максимального времени работы (кроме 1 треда) от значения </a:t>
            </a:r>
            <a:r>
              <a:rPr lang="en-US" baseline="0"/>
              <a:t>xstreams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 время (кроме 1 треда)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Лист1!$O$10:$O$14</c:f>
              <c:numCache>
                <c:formatCode>0.00</c:formatCode>
                <c:ptCount val="5"/>
                <c:pt idx="0">
                  <c:v>45.05</c:v>
                </c:pt>
                <c:pt idx="1">
                  <c:v>44.96</c:v>
                </c:pt>
                <c:pt idx="2">
                  <c:v>45.58</c:v>
                </c:pt>
                <c:pt idx="3">
                  <c:v>54</c:v>
                </c:pt>
                <c:pt idx="4">
                  <c:v>111.7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A-4C93-BD74-0794648D2C38}"/>
            </c:ext>
          </c:extLst>
        </c:ser>
        <c:ser>
          <c:idx val="1"/>
          <c:order val="1"/>
          <c:tx>
            <c:v>Время 1 тред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Лист1!$F$10:$F$14</c:f>
              <c:numCache>
                <c:formatCode>0.00</c:formatCode>
                <c:ptCount val="5"/>
                <c:pt idx="0">
                  <c:v>44.56</c:v>
                </c:pt>
                <c:pt idx="1">
                  <c:v>45.78</c:v>
                </c:pt>
                <c:pt idx="2" formatCode="General">
                  <c:v>46.91</c:v>
                </c:pt>
                <c:pt idx="3" formatCode="General">
                  <c:v>55.38</c:v>
                </c:pt>
                <c:pt idx="4" formatCode="General">
                  <c:v>108.65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7A-4C93-BD74-0794648D2C38}"/>
            </c:ext>
          </c:extLst>
        </c:ser>
        <c:ser>
          <c:idx val="2"/>
          <c:order val="2"/>
          <c:tx>
            <c:v>max время (кроме 1 треда)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Лист1!$Q$10:$Q$14</c:f>
              <c:numCache>
                <c:formatCode>0.00</c:formatCode>
                <c:ptCount val="5"/>
                <c:pt idx="0">
                  <c:v>46.69</c:v>
                </c:pt>
                <c:pt idx="1">
                  <c:v>46.29</c:v>
                </c:pt>
                <c:pt idx="2">
                  <c:v>47.1</c:v>
                </c:pt>
                <c:pt idx="3">
                  <c:v>55.48</c:v>
                </c:pt>
                <c:pt idx="4">
                  <c:v>134.25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7A-4C93-BD74-0794648D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0732288"/>
        <c:axId val="1460729408"/>
      </c:barChart>
      <c:catAx>
        <c:axId val="146073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  <a:r>
                  <a:rPr lang="ru-RU" baseline="0"/>
                  <a:t> </a:t>
                </a:r>
                <a:r>
                  <a:rPr lang="en-US" baseline="0"/>
                  <a:t>xstreams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729408"/>
        <c:crosses val="autoZero"/>
        <c:auto val="1"/>
        <c:lblAlgn val="ctr"/>
        <c:lblOffset val="100"/>
        <c:noMultiLvlLbl val="0"/>
      </c:catAx>
      <c:valAx>
        <c:axId val="14607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работы теста (с)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73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 </a:t>
            </a:r>
            <a:r>
              <a:rPr lang="en-US"/>
              <a:t>S. </a:t>
            </a:r>
            <a:r>
              <a:rPr lang="ru-RU"/>
              <a:t>Зависимость</a:t>
            </a:r>
            <a:r>
              <a:rPr lang="ru-RU" baseline="0"/>
              <a:t> минимального времени работы (кроме 1 треда), времени работы 1 треда, максимального времени работы (кроме 1 треда) от значения </a:t>
            </a:r>
            <a:r>
              <a:rPr lang="en-US" baseline="0"/>
              <a:t>xstreams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 время (кроме 1 треда)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Лист1!$O$18:$O$22</c:f>
              <c:numCache>
                <c:formatCode>0.00</c:formatCode>
                <c:ptCount val="5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0.06</c:v>
                </c:pt>
                <c:pt idx="4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0-4C4B-B77E-28C4C08FAB77}"/>
            </c:ext>
          </c:extLst>
        </c:ser>
        <c:ser>
          <c:idx val="1"/>
          <c:order val="1"/>
          <c:tx>
            <c:v>Время 1 тред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Лист1!$F$18:$F$22</c:f>
              <c:numCache>
                <c:formatCode>0.00</c:formatCode>
                <c:ptCount val="5"/>
                <c:pt idx="0">
                  <c:v>0.04</c:v>
                </c:pt>
                <c:pt idx="1">
                  <c:v>0.04</c:v>
                </c:pt>
                <c:pt idx="2" formatCode="General">
                  <c:v>0.06</c:v>
                </c:pt>
                <c:pt idx="3" formatCode="General">
                  <c:v>0.06</c:v>
                </c:pt>
                <c:pt idx="4" formatCode="General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E0-4C4B-B77E-28C4C08FAB77}"/>
            </c:ext>
          </c:extLst>
        </c:ser>
        <c:ser>
          <c:idx val="2"/>
          <c:order val="2"/>
          <c:tx>
            <c:v>max время (кроме 1 треда)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Лист1!$Q$18:$Q$22</c:f>
              <c:numCache>
                <c:formatCode>0.00</c:formatCode>
                <c:ptCount val="5"/>
                <c:pt idx="0">
                  <c:v>0.27</c:v>
                </c:pt>
                <c:pt idx="1">
                  <c:v>0.27</c:v>
                </c:pt>
                <c:pt idx="2">
                  <c:v>0.3</c:v>
                </c:pt>
                <c:pt idx="3">
                  <c:v>0.56999999999999995</c:v>
                </c:pt>
                <c:pt idx="4">
                  <c:v>6.52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E0-4C4B-B77E-28C4C08FAB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0732288"/>
        <c:axId val="1460729408"/>
      </c:barChart>
      <c:catAx>
        <c:axId val="146073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  <a:r>
                  <a:rPr lang="ru-RU" baseline="0"/>
                  <a:t> </a:t>
                </a:r>
                <a:r>
                  <a:rPr lang="en-US" baseline="0"/>
                  <a:t>xstreams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729408"/>
        <c:crosses val="autoZero"/>
        <c:auto val="1"/>
        <c:lblAlgn val="ctr"/>
        <c:lblOffset val="100"/>
        <c:noMultiLvlLbl val="0"/>
      </c:catAx>
      <c:valAx>
        <c:axId val="14607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работы теста (с)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73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Класс </a:t>
            </a:r>
            <a:r>
              <a:rPr lang="en-US"/>
              <a:t>W. </a:t>
            </a:r>
            <a:r>
              <a:rPr lang="ru-RU"/>
              <a:t>Зависимость</a:t>
            </a:r>
            <a:r>
              <a:rPr lang="ru-RU" baseline="0"/>
              <a:t> минимального времени работы (кроме 1 треда), времени работы 1 треда, максимального времени работы (кроме 1 треда) от значения </a:t>
            </a:r>
            <a:r>
              <a:rPr lang="en-US" baseline="0"/>
              <a:t>xstreams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 время (кроме 1 треда)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Лист1!$O$26:$O$30</c:f>
              <c:numCache>
                <c:formatCode>0.00</c:formatCode>
                <c:ptCount val="5"/>
                <c:pt idx="0">
                  <c:v>0.26</c:v>
                </c:pt>
                <c:pt idx="1">
                  <c:v>0.25</c:v>
                </c:pt>
                <c:pt idx="2">
                  <c:v>0.26</c:v>
                </c:pt>
                <c:pt idx="3">
                  <c:v>0.37</c:v>
                </c:pt>
                <c:pt idx="4">
                  <c:v>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C-41CA-B85F-CB24487E2B02}"/>
            </c:ext>
          </c:extLst>
        </c:ser>
        <c:ser>
          <c:idx val="1"/>
          <c:order val="1"/>
          <c:tx>
            <c:v>Время 1 тред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Лист1!$F$26:$F$30</c:f>
              <c:numCache>
                <c:formatCode>0.00</c:formatCode>
                <c:ptCount val="5"/>
                <c:pt idx="0">
                  <c:v>0.26</c:v>
                </c:pt>
                <c:pt idx="1">
                  <c:v>0.26</c:v>
                </c:pt>
                <c:pt idx="2" formatCode="General">
                  <c:v>0.35</c:v>
                </c:pt>
                <c:pt idx="3" formatCode="General">
                  <c:v>0.36</c:v>
                </c:pt>
                <c:pt idx="4" formatCode="General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C-41CA-B85F-CB24487E2B02}"/>
            </c:ext>
          </c:extLst>
        </c:ser>
        <c:ser>
          <c:idx val="2"/>
          <c:order val="2"/>
          <c:tx>
            <c:v>max время (кроме 1 треда)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Лист1!$Q$26:$Q$30</c:f>
              <c:numCache>
                <c:formatCode>0.00</c:formatCode>
                <c:ptCount val="5"/>
                <c:pt idx="0">
                  <c:v>0.48</c:v>
                </c:pt>
                <c:pt idx="1">
                  <c:v>0.48</c:v>
                </c:pt>
                <c:pt idx="2">
                  <c:v>0.5</c:v>
                </c:pt>
                <c:pt idx="3">
                  <c:v>0.86</c:v>
                </c:pt>
                <c:pt idx="4">
                  <c:v>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5C-41CA-B85F-CB24487E2B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0732288"/>
        <c:axId val="1460729408"/>
      </c:barChart>
      <c:catAx>
        <c:axId val="146073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  <a:r>
                  <a:rPr lang="ru-RU" baseline="0"/>
                  <a:t> </a:t>
                </a:r>
                <a:r>
                  <a:rPr lang="en-US" baseline="0"/>
                  <a:t>xstreams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729408"/>
        <c:crosses val="autoZero"/>
        <c:auto val="1"/>
        <c:lblAlgn val="ctr"/>
        <c:lblOffset val="100"/>
        <c:noMultiLvlLbl val="0"/>
      </c:catAx>
      <c:valAx>
        <c:axId val="14607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работы теста (с)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73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62553</xdr:colOff>
      <xdr:row>31</xdr:row>
      <xdr:rowOff>44355</xdr:rowOff>
    </xdr:from>
    <xdr:to>
      <xdr:col>13</xdr:col>
      <xdr:colOff>14378</xdr:colOff>
      <xdr:row>52</xdr:row>
      <xdr:rowOff>35943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213C67D-1787-AC5A-7F87-B1DF3883F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12</xdr:col>
      <xdr:colOff>559365</xdr:colOff>
      <xdr:row>75</xdr:row>
      <xdr:rowOff>176939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6FF634A-05DC-4505-B3E7-792448061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12</xdr:col>
      <xdr:colOff>559365</xdr:colOff>
      <xdr:row>99</xdr:row>
      <xdr:rowOff>176939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8D38AC9-280E-42CF-899C-D91A2D4ED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12</xdr:col>
      <xdr:colOff>559365</xdr:colOff>
      <xdr:row>123</xdr:row>
      <xdr:rowOff>176939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3E902AE8-4ADE-47FD-8674-C7D582FC9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FA13-A516-4B03-8EF6-961971AFAD46}">
  <dimension ref="A1:R53"/>
  <sheetViews>
    <sheetView tabSelected="1" topLeftCell="A79" zoomScale="74" workbookViewId="0">
      <selection activeCell="O98" sqref="O98"/>
    </sheetView>
  </sheetViews>
  <sheetFormatPr defaultRowHeight="14.4" x14ac:dyDescent="0.3"/>
  <cols>
    <col min="2" max="2" width="11.109375" customWidth="1"/>
    <col min="5" max="5" width="19" customWidth="1"/>
    <col min="8" max="8" width="9.88671875" customWidth="1"/>
    <col min="9" max="9" width="9.5546875" bestFit="1" customWidth="1"/>
    <col min="15" max="15" width="22.109375" customWidth="1"/>
    <col min="16" max="16" width="16.88671875" customWidth="1"/>
    <col min="17" max="17" width="22.5546875" customWidth="1"/>
    <col min="18" max="18" width="17.6640625" customWidth="1"/>
    <col min="19" max="19" width="18" customWidth="1"/>
  </cols>
  <sheetData>
    <row r="1" spans="1:18" x14ac:dyDescent="0.3">
      <c r="A1" t="s">
        <v>0</v>
      </c>
      <c r="B1" t="s">
        <v>1</v>
      </c>
      <c r="C1" t="s">
        <v>2</v>
      </c>
      <c r="E1" t="s">
        <v>7</v>
      </c>
      <c r="F1">
        <v>1</v>
      </c>
      <c r="G1">
        <v>2</v>
      </c>
      <c r="H1">
        <v>4</v>
      </c>
      <c r="I1">
        <v>8</v>
      </c>
      <c r="J1">
        <v>16</v>
      </c>
      <c r="K1">
        <v>32</v>
      </c>
      <c r="L1">
        <v>64</v>
      </c>
      <c r="M1">
        <v>128</v>
      </c>
      <c r="O1" t="s">
        <v>8</v>
      </c>
      <c r="P1" t="s">
        <v>9</v>
      </c>
      <c r="Q1" t="s">
        <v>10</v>
      </c>
      <c r="R1" t="s">
        <v>11</v>
      </c>
    </row>
    <row r="2" spans="1:18" x14ac:dyDescent="0.3">
      <c r="A2" t="s">
        <v>3</v>
      </c>
      <c r="B2">
        <v>15</v>
      </c>
      <c r="C2">
        <v>14000</v>
      </c>
      <c r="E2">
        <v>1</v>
      </c>
      <c r="F2" s="1">
        <v>1.08</v>
      </c>
      <c r="G2" s="1">
        <v>1.06</v>
      </c>
      <c r="H2" s="1">
        <v>1.1200000000000001</v>
      </c>
      <c r="I2" s="1">
        <v>1.0900000000000001</v>
      </c>
      <c r="J2" s="1">
        <v>1.1000000000000001</v>
      </c>
      <c r="K2" s="1">
        <v>1.1299999999999999</v>
      </c>
      <c r="L2" s="1">
        <v>1.2</v>
      </c>
      <c r="M2" s="1">
        <v>1.3</v>
      </c>
      <c r="O2" s="1">
        <f>MIN(G2:M2)</f>
        <v>1.06</v>
      </c>
      <c r="P2" s="2">
        <v>2</v>
      </c>
      <c r="Q2" s="1">
        <f>MAX(G2:M2)</f>
        <v>1.3</v>
      </c>
      <c r="R2">
        <v>128</v>
      </c>
    </row>
    <row r="3" spans="1:18" x14ac:dyDescent="0.3">
      <c r="E3">
        <v>2</v>
      </c>
      <c r="F3" s="1">
        <v>1.02</v>
      </c>
      <c r="G3" s="1">
        <v>1.04</v>
      </c>
      <c r="H3" s="1">
        <v>1.05</v>
      </c>
      <c r="I3" s="1">
        <v>1.0900000000000001</v>
      </c>
      <c r="J3" s="1">
        <v>1.07</v>
      </c>
      <c r="K3" s="1">
        <v>1.1000000000000001</v>
      </c>
      <c r="L3" s="1">
        <v>1.17</v>
      </c>
      <c r="M3" s="1">
        <v>1.29</v>
      </c>
      <c r="O3" s="1">
        <f t="shared" ref="O3:O6" si="0">MIN(G3:M3)</f>
        <v>1.04</v>
      </c>
      <c r="P3" s="2">
        <v>2</v>
      </c>
      <c r="Q3" s="1">
        <f t="shared" ref="Q3:Q6" si="1">MAX(G3:M3)</f>
        <v>1.29</v>
      </c>
      <c r="R3">
        <v>128</v>
      </c>
    </row>
    <row r="4" spans="1:18" x14ac:dyDescent="0.3">
      <c r="E4">
        <v>4</v>
      </c>
      <c r="F4">
        <v>1.04</v>
      </c>
      <c r="G4">
        <v>1.31</v>
      </c>
      <c r="H4">
        <v>1.06</v>
      </c>
      <c r="I4">
        <v>1.07</v>
      </c>
      <c r="J4">
        <v>1.0900000000000001</v>
      </c>
      <c r="K4">
        <v>1.0900000000000001</v>
      </c>
      <c r="L4">
        <v>1.1599999999999999</v>
      </c>
      <c r="M4">
        <v>1.32</v>
      </c>
      <c r="O4" s="1">
        <f t="shared" si="0"/>
        <v>1.06</v>
      </c>
      <c r="P4">
        <v>4</v>
      </c>
      <c r="Q4" s="1">
        <f t="shared" si="1"/>
        <v>1.32</v>
      </c>
      <c r="R4">
        <v>128</v>
      </c>
    </row>
    <row r="5" spans="1:18" x14ac:dyDescent="0.3">
      <c r="E5">
        <v>8</v>
      </c>
      <c r="F5">
        <v>1.38</v>
      </c>
      <c r="G5">
        <v>1.32</v>
      </c>
      <c r="H5">
        <v>1.32</v>
      </c>
      <c r="I5">
        <v>1.32</v>
      </c>
      <c r="J5">
        <v>1.33</v>
      </c>
      <c r="K5">
        <v>1.42</v>
      </c>
      <c r="L5">
        <v>1.56</v>
      </c>
      <c r="M5">
        <v>1.83</v>
      </c>
      <c r="O5" s="1">
        <f t="shared" si="0"/>
        <v>1.32</v>
      </c>
      <c r="P5">
        <v>2</v>
      </c>
      <c r="Q5" s="1">
        <f t="shared" si="1"/>
        <v>1.83</v>
      </c>
      <c r="R5">
        <v>128</v>
      </c>
    </row>
    <row r="6" spans="1:18" x14ac:dyDescent="0.3">
      <c r="E6">
        <v>16</v>
      </c>
      <c r="F6">
        <v>2.84</v>
      </c>
      <c r="G6">
        <v>3.86</v>
      </c>
      <c r="H6">
        <v>5.58</v>
      </c>
      <c r="I6">
        <v>7.24</v>
      </c>
      <c r="J6">
        <v>8.93</v>
      </c>
      <c r="K6">
        <v>8.81</v>
      </c>
      <c r="L6">
        <v>8.93</v>
      </c>
      <c r="M6">
        <v>8.9600000000000009</v>
      </c>
      <c r="O6" s="1">
        <f t="shared" si="0"/>
        <v>3.86</v>
      </c>
      <c r="P6">
        <v>2</v>
      </c>
      <c r="Q6" s="1">
        <f t="shared" si="1"/>
        <v>8.9600000000000009</v>
      </c>
      <c r="R6">
        <v>128</v>
      </c>
    </row>
    <row r="9" spans="1:18" x14ac:dyDescent="0.3">
      <c r="A9" t="s">
        <v>0</v>
      </c>
      <c r="B9" t="s">
        <v>1</v>
      </c>
      <c r="C9" t="s">
        <v>2</v>
      </c>
      <c r="E9" t="s">
        <v>7</v>
      </c>
      <c r="F9">
        <v>1</v>
      </c>
      <c r="G9">
        <v>2</v>
      </c>
      <c r="H9">
        <v>4</v>
      </c>
      <c r="I9">
        <v>8</v>
      </c>
      <c r="J9">
        <v>16</v>
      </c>
      <c r="K9">
        <v>32</v>
      </c>
      <c r="L9">
        <v>64</v>
      </c>
      <c r="M9">
        <v>128</v>
      </c>
      <c r="O9" t="s">
        <v>8</v>
      </c>
      <c r="P9" t="s">
        <v>9</v>
      </c>
      <c r="Q9" t="s">
        <v>10</v>
      </c>
      <c r="R9" t="s">
        <v>11</v>
      </c>
    </row>
    <row r="10" spans="1:18" x14ac:dyDescent="0.3">
      <c r="A10" t="s">
        <v>4</v>
      </c>
      <c r="B10">
        <v>75</v>
      </c>
      <c r="C10">
        <v>75000</v>
      </c>
      <c r="E10">
        <v>1</v>
      </c>
      <c r="F10" s="1">
        <v>44.56</v>
      </c>
      <c r="G10" s="1">
        <v>45.05</v>
      </c>
      <c r="H10" s="1">
        <v>45.64</v>
      </c>
      <c r="I10" s="1">
        <v>45.76</v>
      </c>
      <c r="J10" s="1">
        <v>45.6</v>
      </c>
      <c r="K10" s="1">
        <v>45.79</v>
      </c>
      <c r="L10" s="1">
        <v>45.85</v>
      </c>
      <c r="M10" s="1">
        <v>46.69</v>
      </c>
      <c r="O10" s="1">
        <f>MIN(G10:M10)</f>
        <v>45.05</v>
      </c>
      <c r="P10" s="2">
        <v>2</v>
      </c>
      <c r="Q10" s="1">
        <f>MAX(G10:M10)</f>
        <v>46.69</v>
      </c>
      <c r="R10">
        <v>128</v>
      </c>
    </row>
    <row r="11" spans="1:18" x14ac:dyDescent="0.3">
      <c r="E11">
        <v>2</v>
      </c>
      <c r="F11" s="1">
        <v>45.78</v>
      </c>
      <c r="G11" s="1">
        <v>45.3</v>
      </c>
      <c r="H11" s="1">
        <v>44.96</v>
      </c>
      <c r="I11" s="1">
        <v>45.51</v>
      </c>
      <c r="J11" s="1">
        <v>45.13</v>
      </c>
      <c r="K11" s="1">
        <v>44.98</v>
      </c>
      <c r="L11" s="1">
        <v>45.41</v>
      </c>
      <c r="M11" s="1">
        <v>46.29</v>
      </c>
      <c r="O11" s="1">
        <f t="shared" ref="O11:O14" si="2">MIN(G11:M11)</f>
        <v>44.96</v>
      </c>
      <c r="P11" s="2">
        <v>4</v>
      </c>
      <c r="Q11" s="1">
        <f t="shared" ref="Q11:Q14" si="3">MAX(G11:M11)</f>
        <v>46.29</v>
      </c>
      <c r="R11">
        <v>128</v>
      </c>
    </row>
    <row r="12" spans="1:18" x14ac:dyDescent="0.3">
      <c r="E12">
        <v>4</v>
      </c>
      <c r="F12">
        <v>46.91</v>
      </c>
      <c r="G12">
        <v>45.84</v>
      </c>
      <c r="H12">
        <v>45.89</v>
      </c>
      <c r="I12">
        <v>45.91</v>
      </c>
      <c r="J12">
        <v>45.58</v>
      </c>
      <c r="K12" s="1">
        <v>47.1</v>
      </c>
      <c r="L12">
        <v>46.22</v>
      </c>
      <c r="M12">
        <v>46.62</v>
      </c>
      <c r="O12" s="1">
        <f t="shared" si="2"/>
        <v>45.58</v>
      </c>
      <c r="P12">
        <v>16</v>
      </c>
      <c r="Q12" s="1">
        <f t="shared" si="3"/>
        <v>47.1</v>
      </c>
      <c r="R12">
        <v>32</v>
      </c>
    </row>
    <row r="13" spans="1:18" x14ac:dyDescent="0.3">
      <c r="E13">
        <v>8</v>
      </c>
      <c r="F13">
        <v>55.38</v>
      </c>
      <c r="G13" s="1">
        <v>54</v>
      </c>
      <c r="H13">
        <v>54.21</v>
      </c>
      <c r="I13">
        <v>54.33</v>
      </c>
      <c r="J13">
        <v>55.31</v>
      </c>
      <c r="K13">
        <v>54.79</v>
      </c>
      <c r="L13">
        <v>55.14</v>
      </c>
      <c r="M13">
        <v>55.48</v>
      </c>
      <c r="O13" s="1">
        <f t="shared" si="2"/>
        <v>54</v>
      </c>
      <c r="P13">
        <v>2</v>
      </c>
      <c r="Q13" s="1">
        <f t="shared" si="3"/>
        <v>55.48</v>
      </c>
      <c r="R13">
        <v>128</v>
      </c>
    </row>
    <row r="14" spans="1:18" x14ac:dyDescent="0.3">
      <c r="E14">
        <v>16</v>
      </c>
      <c r="F14">
        <v>108.65</v>
      </c>
      <c r="G14" s="1">
        <v>111.7</v>
      </c>
      <c r="H14">
        <v>123.04</v>
      </c>
      <c r="I14" s="1">
        <v>131.4</v>
      </c>
      <c r="J14">
        <v>133.75</v>
      </c>
      <c r="K14">
        <v>133.21</v>
      </c>
      <c r="L14">
        <v>134.25</v>
      </c>
      <c r="M14">
        <v>133.12</v>
      </c>
      <c r="O14" s="1">
        <f t="shared" si="2"/>
        <v>111.7</v>
      </c>
      <c r="P14">
        <v>2</v>
      </c>
      <c r="Q14" s="1">
        <f t="shared" si="3"/>
        <v>134.25</v>
      </c>
      <c r="R14">
        <v>64</v>
      </c>
    </row>
    <row r="17" spans="1:18" x14ac:dyDescent="0.3">
      <c r="A17" t="s">
        <v>0</v>
      </c>
      <c r="B17" t="s">
        <v>1</v>
      </c>
      <c r="C17" t="s">
        <v>2</v>
      </c>
      <c r="E17" t="s">
        <v>7</v>
      </c>
      <c r="F17">
        <v>1</v>
      </c>
      <c r="G17">
        <v>2</v>
      </c>
      <c r="H17">
        <v>4</v>
      </c>
      <c r="I17">
        <v>8</v>
      </c>
      <c r="J17">
        <v>16</v>
      </c>
      <c r="K17">
        <v>32</v>
      </c>
      <c r="L17">
        <v>64</v>
      </c>
      <c r="M17">
        <v>128</v>
      </c>
      <c r="O17" t="s">
        <v>8</v>
      </c>
      <c r="P17" t="s">
        <v>9</v>
      </c>
      <c r="Q17" t="s">
        <v>10</v>
      </c>
      <c r="R17" t="s">
        <v>11</v>
      </c>
    </row>
    <row r="18" spans="1:18" x14ac:dyDescent="0.3">
      <c r="A18" t="s">
        <v>5</v>
      </c>
      <c r="B18">
        <v>15</v>
      </c>
      <c r="C18">
        <v>1400</v>
      </c>
      <c r="E18">
        <v>1</v>
      </c>
      <c r="F18" s="1">
        <v>0.04</v>
      </c>
      <c r="G18" s="1">
        <v>0.04</v>
      </c>
      <c r="H18" s="1">
        <v>0.05</v>
      </c>
      <c r="I18" s="1">
        <v>0.06</v>
      </c>
      <c r="J18" s="1">
        <v>7.0000000000000007E-2</v>
      </c>
      <c r="K18" s="1">
        <v>0.1</v>
      </c>
      <c r="L18" s="1">
        <v>0.16</v>
      </c>
      <c r="M18" s="1">
        <v>0.27</v>
      </c>
      <c r="O18" s="1">
        <f>MIN(G18:M18)</f>
        <v>0.04</v>
      </c>
      <c r="P18" s="2">
        <v>2</v>
      </c>
      <c r="Q18" s="1">
        <f>MAX(G18:M18)</f>
        <v>0.27</v>
      </c>
      <c r="R18">
        <v>128</v>
      </c>
    </row>
    <row r="19" spans="1:18" x14ac:dyDescent="0.3">
      <c r="E19">
        <v>2</v>
      </c>
      <c r="F19" s="1">
        <v>0.04</v>
      </c>
      <c r="G19" s="1">
        <v>0.04</v>
      </c>
      <c r="H19" s="1">
        <v>0.04</v>
      </c>
      <c r="I19" s="1">
        <v>0.05</v>
      </c>
      <c r="J19" s="1">
        <v>7.0000000000000007E-2</v>
      </c>
      <c r="K19" s="1">
        <v>0.1</v>
      </c>
      <c r="L19" s="1">
        <v>0.16</v>
      </c>
      <c r="M19" s="1">
        <v>0.27</v>
      </c>
      <c r="O19" s="1">
        <f t="shared" ref="O19:O22" si="4">MIN(G19:M19)</f>
        <v>0.04</v>
      </c>
      <c r="P19" s="2">
        <v>2</v>
      </c>
      <c r="Q19" s="1">
        <f t="shared" ref="Q19:Q22" si="5">MAX(G19:M19)</f>
        <v>0.27</v>
      </c>
      <c r="R19">
        <v>128</v>
      </c>
    </row>
    <row r="20" spans="1:18" x14ac:dyDescent="0.3">
      <c r="E20">
        <v>4</v>
      </c>
      <c r="F20">
        <v>0.06</v>
      </c>
      <c r="G20">
        <v>0.04</v>
      </c>
      <c r="H20">
        <v>0.04</v>
      </c>
      <c r="I20">
        <v>0.05</v>
      </c>
      <c r="J20">
        <v>7.0000000000000007E-2</v>
      </c>
      <c r="K20" s="1">
        <v>0.11</v>
      </c>
      <c r="L20">
        <v>0.17</v>
      </c>
      <c r="M20" s="1">
        <v>0.3</v>
      </c>
      <c r="O20" s="1">
        <f t="shared" si="4"/>
        <v>0.04</v>
      </c>
      <c r="P20">
        <v>2</v>
      </c>
      <c r="Q20" s="1">
        <f t="shared" si="5"/>
        <v>0.3</v>
      </c>
      <c r="R20">
        <v>128</v>
      </c>
    </row>
    <row r="21" spans="1:18" x14ac:dyDescent="0.3">
      <c r="E21">
        <v>8</v>
      </c>
      <c r="F21">
        <v>0.06</v>
      </c>
      <c r="G21" s="1">
        <v>0.06</v>
      </c>
      <c r="H21">
        <v>7.0000000000000007E-2</v>
      </c>
      <c r="I21">
        <v>0.08</v>
      </c>
      <c r="J21">
        <v>0.11</v>
      </c>
      <c r="K21">
        <v>0.18</v>
      </c>
      <c r="L21">
        <v>0.33</v>
      </c>
      <c r="M21">
        <v>0.56999999999999995</v>
      </c>
      <c r="O21" s="1">
        <f t="shared" si="4"/>
        <v>0.06</v>
      </c>
      <c r="P21">
        <v>2</v>
      </c>
      <c r="Q21" s="1">
        <f t="shared" si="5"/>
        <v>0.56999999999999995</v>
      </c>
      <c r="R21">
        <v>128</v>
      </c>
    </row>
    <row r="22" spans="1:18" x14ac:dyDescent="0.3">
      <c r="E22">
        <v>16</v>
      </c>
      <c r="F22">
        <v>0.14000000000000001</v>
      </c>
      <c r="G22" s="1">
        <v>0.28999999999999998</v>
      </c>
      <c r="H22">
        <v>0.97</v>
      </c>
      <c r="I22" s="1">
        <v>5.6</v>
      </c>
      <c r="J22">
        <v>6.52</v>
      </c>
      <c r="K22">
        <v>6.34</v>
      </c>
      <c r="L22">
        <v>6.38</v>
      </c>
      <c r="M22" s="1">
        <v>6.4</v>
      </c>
      <c r="O22" s="1">
        <f t="shared" si="4"/>
        <v>0.28999999999999998</v>
      </c>
      <c r="P22">
        <v>2</v>
      </c>
      <c r="Q22" s="1">
        <f t="shared" si="5"/>
        <v>6.52</v>
      </c>
      <c r="R22">
        <v>16</v>
      </c>
    </row>
    <row r="25" spans="1:18" x14ac:dyDescent="0.3">
      <c r="A25" t="s">
        <v>0</v>
      </c>
      <c r="B25" t="s">
        <v>1</v>
      </c>
      <c r="C25" t="s">
        <v>2</v>
      </c>
      <c r="E25" t="s">
        <v>7</v>
      </c>
      <c r="F25">
        <v>1</v>
      </c>
      <c r="G25">
        <v>2</v>
      </c>
      <c r="H25">
        <v>4</v>
      </c>
      <c r="I25">
        <v>8</v>
      </c>
      <c r="J25">
        <v>16</v>
      </c>
      <c r="K25">
        <v>32</v>
      </c>
      <c r="L25">
        <v>64</v>
      </c>
      <c r="M25">
        <v>128</v>
      </c>
      <c r="O25" t="s">
        <v>8</v>
      </c>
      <c r="P25" t="s">
        <v>9</v>
      </c>
      <c r="Q25" t="s">
        <v>10</v>
      </c>
      <c r="R25" t="s">
        <v>11</v>
      </c>
    </row>
    <row r="26" spans="1:18" x14ac:dyDescent="0.3">
      <c r="A26" t="s">
        <v>6</v>
      </c>
      <c r="B26">
        <v>15</v>
      </c>
      <c r="C26">
        <v>7000</v>
      </c>
      <c r="E26">
        <v>1</v>
      </c>
      <c r="F26" s="1">
        <v>0.26</v>
      </c>
      <c r="G26" s="1">
        <v>0.26</v>
      </c>
      <c r="H26" s="1">
        <v>0.27</v>
      </c>
      <c r="I26" s="1">
        <v>0.28000000000000003</v>
      </c>
      <c r="J26" s="1">
        <v>0.28999999999999998</v>
      </c>
      <c r="K26" s="1">
        <v>0.32</v>
      </c>
      <c r="L26" s="1">
        <v>0.38</v>
      </c>
      <c r="M26" s="1">
        <v>0.48</v>
      </c>
      <c r="O26" s="1">
        <f>MIN(G26:M26)</f>
        <v>0.26</v>
      </c>
      <c r="P26" s="2">
        <v>2</v>
      </c>
      <c r="Q26" s="1">
        <f>MAX(G26:M26)</f>
        <v>0.48</v>
      </c>
      <c r="R26">
        <v>128</v>
      </c>
    </row>
    <row r="27" spans="1:18" x14ac:dyDescent="0.3">
      <c r="E27">
        <v>2</v>
      </c>
      <c r="F27" s="1">
        <v>0.26</v>
      </c>
      <c r="G27" s="1">
        <v>0.25</v>
      </c>
      <c r="H27" s="1">
        <v>0.26</v>
      </c>
      <c r="I27" s="1">
        <v>0.27</v>
      </c>
      <c r="J27" s="1">
        <v>0.28999999999999998</v>
      </c>
      <c r="K27" s="1">
        <v>0.32</v>
      </c>
      <c r="L27" s="1">
        <v>0.36</v>
      </c>
      <c r="M27" s="1">
        <v>0.48</v>
      </c>
      <c r="O27" s="1">
        <f t="shared" ref="O27:O30" si="6">MIN(G27:M27)</f>
        <v>0.25</v>
      </c>
      <c r="P27" s="2">
        <v>2</v>
      </c>
      <c r="Q27" s="1">
        <f t="shared" ref="Q27:Q30" si="7">MAX(G27:M27)</f>
        <v>0.48</v>
      </c>
      <c r="R27">
        <v>128</v>
      </c>
    </row>
    <row r="28" spans="1:18" x14ac:dyDescent="0.3">
      <c r="E28">
        <v>4</v>
      </c>
      <c r="F28">
        <v>0.35</v>
      </c>
      <c r="G28">
        <v>0.26</v>
      </c>
      <c r="H28">
        <v>0.26</v>
      </c>
      <c r="I28">
        <v>0.27</v>
      </c>
      <c r="J28">
        <v>0.28000000000000003</v>
      </c>
      <c r="K28" s="1">
        <v>0.32</v>
      </c>
      <c r="L28">
        <v>0.37</v>
      </c>
      <c r="M28" s="1">
        <v>0.5</v>
      </c>
      <c r="O28" s="1">
        <f t="shared" si="6"/>
        <v>0.26</v>
      </c>
      <c r="P28">
        <v>2</v>
      </c>
      <c r="Q28" s="1">
        <f t="shared" si="7"/>
        <v>0.5</v>
      </c>
      <c r="R28">
        <v>128</v>
      </c>
    </row>
    <row r="29" spans="1:18" x14ac:dyDescent="0.3">
      <c r="E29">
        <v>8</v>
      </c>
      <c r="F29">
        <v>0.36</v>
      </c>
      <c r="G29" s="1">
        <v>0.38</v>
      </c>
      <c r="H29">
        <v>0.37</v>
      </c>
      <c r="I29">
        <v>0.38</v>
      </c>
      <c r="J29" s="1">
        <v>0.4</v>
      </c>
      <c r="K29">
        <v>0.47</v>
      </c>
      <c r="L29" s="1">
        <v>0.6</v>
      </c>
      <c r="M29">
        <v>0.86</v>
      </c>
      <c r="O29" s="1">
        <f t="shared" si="6"/>
        <v>0.37</v>
      </c>
      <c r="P29">
        <v>4</v>
      </c>
      <c r="Q29" s="1">
        <f t="shared" si="7"/>
        <v>0.86</v>
      </c>
      <c r="R29">
        <v>128</v>
      </c>
    </row>
    <row r="30" spans="1:18" x14ac:dyDescent="0.3">
      <c r="E30">
        <v>16</v>
      </c>
      <c r="F30">
        <v>0.77</v>
      </c>
      <c r="G30" s="1">
        <v>1.64</v>
      </c>
      <c r="H30">
        <v>3.28</v>
      </c>
      <c r="I30" s="1">
        <v>5.38</v>
      </c>
      <c r="J30">
        <v>6.74</v>
      </c>
      <c r="K30">
        <v>6.76</v>
      </c>
      <c r="L30">
        <v>6.65</v>
      </c>
      <c r="M30">
        <v>6.79</v>
      </c>
      <c r="O30" s="1">
        <f t="shared" si="6"/>
        <v>1.64</v>
      </c>
      <c r="P30">
        <v>2</v>
      </c>
      <c r="Q30" s="1">
        <f t="shared" si="7"/>
        <v>6.79</v>
      </c>
      <c r="R30">
        <v>128</v>
      </c>
    </row>
    <row r="42" spans="6:13" x14ac:dyDescent="0.3">
      <c r="F42" s="1"/>
      <c r="G42" s="1"/>
      <c r="H42" s="1"/>
      <c r="I42" s="1"/>
      <c r="J42" s="1"/>
      <c r="K42" s="1"/>
      <c r="L42" s="1"/>
      <c r="M42" s="1"/>
    </row>
    <row r="43" spans="6:13" x14ac:dyDescent="0.3">
      <c r="F43" s="1"/>
      <c r="G43" s="1"/>
      <c r="H43" s="1"/>
      <c r="I43" s="1"/>
      <c r="J43" s="1"/>
      <c r="K43" s="1"/>
      <c r="L43" s="1"/>
      <c r="M43" s="1"/>
    </row>
    <row r="47" spans="6:13" x14ac:dyDescent="0.3">
      <c r="F47" s="1"/>
      <c r="G47" s="1"/>
      <c r="H47" s="1"/>
      <c r="I47" s="1"/>
      <c r="J47" s="1"/>
      <c r="K47" s="1"/>
      <c r="L47" s="1"/>
      <c r="M47" s="1"/>
    </row>
    <row r="48" spans="6:13" x14ac:dyDescent="0.3">
      <c r="F48" s="1"/>
      <c r="G48" s="1"/>
      <c r="H48" s="1"/>
      <c r="I48" s="1"/>
      <c r="J48" s="1"/>
      <c r="K48" s="1"/>
      <c r="L48" s="1"/>
      <c r="M48" s="1"/>
    </row>
    <row r="52" spans="6:13" x14ac:dyDescent="0.3">
      <c r="F52" s="1"/>
      <c r="G52" s="1"/>
      <c r="H52" s="1"/>
      <c r="I52" s="1"/>
      <c r="J52" s="1"/>
      <c r="K52" s="1"/>
      <c r="L52" s="1"/>
      <c r="M52" s="1"/>
    </row>
    <row r="53" spans="6:13" x14ac:dyDescent="0.3">
      <c r="F53" s="1"/>
      <c r="G53" s="1"/>
      <c r="H53" s="1"/>
      <c r="I53" s="1"/>
      <c r="J53" s="1"/>
      <c r="K53" s="1"/>
      <c r="L53" s="1"/>
      <c r="M5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Рябыкин Владислав</dc:creator>
  <cp:lastModifiedBy>Рябыкин Владислав</cp:lastModifiedBy>
  <dcterms:created xsi:type="dcterms:W3CDTF">2024-11-21T08:14:15Z</dcterms:created>
  <dcterms:modified xsi:type="dcterms:W3CDTF">2024-11-21T10:24:03Z</dcterms:modified>
</cp:coreProperties>
</file>